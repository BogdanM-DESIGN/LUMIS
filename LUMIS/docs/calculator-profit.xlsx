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ari" sheetId="1" state="visible" r:id="rId1"/>
    <sheet xmlns:r="http://schemas.openxmlformats.org/officeDocument/2006/relationships" name="Produse" sheetId="2" state="visible" r:id="rId2"/>
    <sheet xmlns:r="http://schemas.openxmlformats.org/officeDocument/2006/relationships" name="Surse si lim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8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00" customWidth="1" min="4" max="4"/>
  </cols>
  <sheetData>
    <row r="1">
      <c r="A1" s="1" t="inlineStr">
        <is>
          <t>LUMIS: calculator de profit pe produs</t>
        </is>
      </c>
    </row>
    <row r="2">
      <c r="A2" t="inlineStr">
        <is>
          <t>Celulele galbene sunt de completat. Gol = necunoscut (nu zero). Nicio valoare nu e inventată; nu sunt prețuri recomandate.</t>
        </is>
      </c>
    </row>
    <row r="4">
      <c r="A4" s="2" t="inlineStr">
        <is>
          <t>Intrare</t>
        </is>
      </c>
      <c r="B4" s="2" t="inlineStr">
        <is>
          <t>Unitate</t>
        </is>
      </c>
      <c r="C4" s="2" t="inlineStr">
        <is>
          <t>Valoare</t>
        </is>
      </c>
      <c r="D4" s="2" t="inlineStr">
        <is>
          <t>Notă</t>
        </is>
      </c>
    </row>
    <row r="5">
      <c r="A5" t="inlineStr">
        <is>
          <t>Preț filament</t>
        </is>
      </c>
      <c r="B5" t="inlineStr">
        <is>
          <t>lei / kg</t>
        </is>
      </c>
      <c r="C5" s="3" t="n"/>
      <c r="D5" t="inlineStr">
        <is>
          <t>Din factura ta, fără TVA dacă ești plătitor de TVA. Singurul preț găsit în cercetare e în euro, de la un magazin din Letonia: nu se aplică.</t>
        </is>
      </c>
    </row>
    <row r="6">
      <c r="A6" t="inlineStr">
        <is>
          <t>Cost mașină</t>
        </is>
      </c>
      <c r="B6" t="inlineStr">
        <is>
          <t>lei / oră</t>
        </is>
      </c>
      <c r="C6" s="3" t="n"/>
      <c r="D6" t="inlineStr">
        <is>
          <t>Amortizare imprimantă + energie + întreținere, împreună. Nu le mai număra separat.</t>
        </is>
      </c>
    </row>
    <row r="7">
      <c r="A7" t="inlineStr">
        <is>
          <t>Manoperă proprie</t>
        </is>
      </c>
      <c r="B7" t="inlineStr">
        <is>
          <t>lei / oră</t>
        </is>
      </c>
      <c r="C7" s="3" t="n"/>
      <c r="D7" t="inlineStr">
        <is>
          <t>Cât valorează o oră din timpul tău. 0 e o valoare reală: pune-o doar dacă chiar nu o contabilizezi.</t>
        </is>
      </c>
    </row>
    <row r="8">
      <c r="A8" t="inlineStr">
        <is>
          <t>Comision platformă</t>
        </is>
      </c>
      <c r="B8" t="inlineStr">
        <is>
          <t>% din preț</t>
        </is>
      </c>
      <c r="C8" s="3" t="n"/>
      <c r="D8" t="inlineStr">
        <is>
          <t>De pe marketplace sau procesator de plăți. Se verifică în tariful actual.</t>
        </is>
      </c>
    </row>
    <row r="9">
      <c r="A9" t="inlineStr">
        <is>
          <t>Contribuție transport</t>
        </is>
      </c>
      <c r="B9" t="inlineStr">
        <is>
          <t>lei / comandă</t>
        </is>
      </c>
      <c r="C9" s="3" t="n"/>
      <c r="D9" t="inlineStr">
        <is>
          <t>Cât din transport plătești tu, nu clientul.</t>
        </is>
      </c>
    </row>
    <row r="10">
      <c r="A10" t="inlineStr">
        <is>
          <t>Rată de rebuturi</t>
        </is>
      </c>
      <c r="B10" t="inlineStr">
        <is>
          <t>% din bucăți</t>
        </is>
      </c>
      <c r="C10" s="3" t="n"/>
      <c r="D10" t="inlineStr">
        <is>
          <t>Din printuri reale. Fără print, lasă gol.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  <col width="5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6" customWidth="1" min="15" max="15"/>
    <col width="14" customWidth="1" min="16" max="16"/>
  </cols>
  <sheetData>
    <row r="1" ht="62" customHeight="1">
      <c r="A1" s="4" t="inlineStr">
        <is>
          <t>Produs</t>
        </is>
      </c>
      <c r="B1" s="4" t="inlineStr">
        <is>
          <t>Ore de print (măsurat)</t>
        </is>
      </c>
      <c r="C1" s="4" t="inlineStr">
        <is>
          <t>Grame filament (măsurat)</t>
        </is>
      </c>
      <c r="D1" s="4" t="inlineStr">
        <is>
          <t>Componente (lei)</t>
        </is>
      </c>
      <c r="E1" s="4" t="inlineStr">
        <is>
          <t>Minute manoperă / bucată</t>
        </is>
      </c>
      <c r="F1" s="4" t="inlineStr">
        <is>
          <t>Preț de vânzare, fără TVA (lei) - îl alege proprietarul</t>
        </is>
      </c>
      <c r="G1" s="4" t="inlineStr">
        <is>
          <t>Reper de preț (nu e preț RO)</t>
        </is>
      </c>
      <c r="H1" s="4" t="inlineStr">
        <is>
          <t>Cost material (lei)</t>
        </is>
      </c>
      <c r="I1" s="4" t="inlineStr">
        <is>
          <t>Cost mașină (lei)</t>
        </is>
      </c>
      <c r="J1" s="4" t="inlineStr">
        <is>
          <t>Cost manoperă (lei)</t>
        </is>
      </c>
      <c r="K1" s="4" t="inlineStr">
        <is>
          <t>Cost rebuturi (lei)</t>
        </is>
      </c>
      <c r="L1" s="4" t="inlineStr">
        <is>
          <t>Cost total (lei)</t>
        </is>
      </c>
      <c r="M1" s="4" t="inlineStr">
        <is>
          <t>Venit net după comision (lei)</t>
        </is>
      </c>
      <c r="N1" s="4" t="inlineStr">
        <is>
          <t>Profit / bucată (lei)</t>
        </is>
      </c>
      <c r="O1" s="4" t="inlineStr">
        <is>
          <t>Profit / oră de imprimantă (lei)</t>
        </is>
      </c>
      <c r="P1" s="4" t="inlineStr">
        <is>
          <t>Marjă brută (% din venit net)</t>
        </is>
      </c>
    </row>
    <row r="2">
      <c r="A2" t="inlineStr">
        <is>
          <t>Lampă LUMIS, abajur Wave + soclu</t>
        </is>
      </c>
      <c r="B2" s="3" t="n"/>
      <c r="C2" s="3" t="n"/>
      <c r="D2" s="3" t="n"/>
      <c r="E2" s="3" t="n"/>
      <c r="F2" s="3" t="n"/>
      <c r="G2" t="inlineStr">
        <is>
          <t>Fără sursă</t>
        </is>
      </c>
      <c r="H2" s="5">
        <f>IF(OR(C2="",Intrari!$C$5=""),"",C2/1000*Intrari!$C$5)</f>
        <v/>
      </c>
      <c r="I2" s="5">
        <f>IF(OR(B2="",Intrari!$C$6=""),"",B2*Intrari!$C$6)</f>
        <v/>
      </c>
      <c r="J2" s="5">
        <f>IF(OR(E2="",Intrari!$C$7=""),"",E2/60*Intrari!$C$7)</f>
        <v/>
      </c>
      <c r="K2" s="5">
        <f>IF(OR(H2="",I2="",Intrari!$C$10=""),"",(H2+I2)*Intrari!$C$10/100)</f>
        <v/>
      </c>
      <c r="L2" s="5">
        <f>IF(OR(H2="",I2="",J2="",K2="",D2=""),"",H2+I2+J2+K2+D2)</f>
        <v/>
      </c>
      <c r="M2" s="5">
        <f>IF(OR(F2="",Intrari!$C$8=""),"",F2*(1-Intrari!$C$8/100)-IF(Intrari!$C$9="",0,Intrari!$C$9))</f>
        <v/>
      </c>
      <c r="N2" s="5">
        <f>IF(OR(L2="",M2=""),"",M2-L2)</f>
        <v/>
      </c>
      <c r="O2" s="5">
        <f>IF(OR(N2="",B2="",B2=0),"",N2/B2)</f>
        <v/>
      </c>
      <c r="P2" s="6">
        <f>IF(OR(N2="",M2="",M2=0),"",N2/M2)</f>
        <v/>
      </c>
    </row>
    <row r="3">
      <c r="A3" t="inlineStr">
        <is>
          <t>Lampă LUMIS, Litofanie</t>
        </is>
      </c>
      <c r="B3" s="3" t="n"/>
      <c r="C3" s="3" t="n"/>
      <c r="D3" s="3" t="n"/>
      <c r="E3" s="3" t="n"/>
      <c r="F3" s="3" t="n"/>
      <c r="G3" t="inlineStr">
        <is>
          <t>Abajur litofanie, magazin internațional: 65 USD (o sursă, fără transport/taxe)</t>
        </is>
      </c>
      <c r="H3" s="5">
        <f>IF(OR(C3="",Intrari!$C$5=""),"",C3/1000*Intrari!$C$5)</f>
        <v/>
      </c>
      <c r="I3" s="5">
        <f>IF(OR(B3="",Intrari!$C$6=""),"",B3*Intrari!$C$6)</f>
        <v/>
      </c>
      <c r="J3" s="5">
        <f>IF(OR(E3="",Intrari!$C$7=""),"",E3/60*Intrari!$C$7)</f>
        <v/>
      </c>
      <c r="K3" s="5">
        <f>IF(OR(H3="",I3="",Intrari!$C$10=""),"",(H3+I3)*Intrari!$C$10/100)</f>
        <v/>
      </c>
      <c r="L3" s="5">
        <f>IF(OR(H3="",I3="",J3="",K3="",D3=""),"",H3+I3+J3+K3+D3)</f>
        <v/>
      </c>
      <c r="M3" s="5">
        <f>IF(OR(F3="",Intrari!$C$8=""),"",F3*(1-Intrari!$C$8/100)-IF(Intrari!$C$9="",0,Intrari!$C$9))</f>
        <v/>
      </c>
      <c r="N3" s="5">
        <f>IF(OR(L3="",M3=""),"",M3-L3)</f>
        <v/>
      </c>
      <c r="O3" s="5">
        <f>IF(OR(N3="",B3="",B3=0),"",N3/B3)</f>
        <v/>
      </c>
      <c r="P3" s="6">
        <f>IF(OR(N3="",M3="",M3=0),"",N3/M3)</f>
        <v/>
      </c>
    </row>
    <row r="4">
      <c r="A4" t="inlineStr">
        <is>
          <t>Litofanie plată sau cub cu LED</t>
        </is>
      </c>
      <c r="B4" s="3" t="n"/>
      <c r="C4" s="3" t="n"/>
      <c r="D4" s="3" t="n"/>
      <c r="E4" s="3" t="n"/>
      <c r="F4" s="3" t="n"/>
      <c r="G4" t="inlineStr">
        <is>
          <t>Etsy: cuburi cu LED aprox. 15-60 USD (fără transport/taxe)</t>
        </is>
      </c>
      <c r="H4" s="5">
        <f>IF(OR(C4="",Intrari!$C$5=""),"",C4/1000*Intrari!$C$5)</f>
        <v/>
      </c>
      <c r="I4" s="5">
        <f>IF(OR(B4="",Intrari!$C$6=""),"",B4*Intrari!$C$6)</f>
        <v/>
      </c>
      <c r="J4" s="5">
        <f>IF(OR(E4="",Intrari!$C$7=""),"",E4/60*Intrari!$C$7)</f>
        <v/>
      </c>
      <c r="K4" s="5">
        <f>IF(OR(H4="",I4="",Intrari!$C$10=""),"",(H4+I4)*Intrari!$C$10/100)</f>
        <v/>
      </c>
      <c r="L4" s="5">
        <f>IF(OR(H4="",I4="",J4="",K4="",D4=""),"",H4+I4+J4+K4+D4)</f>
        <v/>
      </c>
      <c r="M4" s="5">
        <f>IF(OR(F4="",Intrari!$C$8=""),"",F4*(1-Intrari!$C$8/100)-IF(Intrari!$C$9="",0,Intrari!$C$9))</f>
        <v/>
      </c>
      <c r="N4" s="5">
        <f>IF(OR(L4="",M4=""),"",M4-L4)</f>
        <v/>
      </c>
      <c r="O4" s="5">
        <f>IF(OR(N4="",B4="",B4=0),"",N4/B4)</f>
        <v/>
      </c>
      <c r="P4" s="6">
        <f>IF(OR(N4="",M4="",M4=0),"",N4/M4)</f>
        <v/>
      </c>
    </row>
    <row r="5">
      <c r="A5" t="inlineStr">
        <is>
          <t>Ghiveci / vază în formele LUMIS</t>
        </is>
      </c>
      <c r="B5" s="3" t="n"/>
      <c r="C5" s="3" t="n"/>
      <c r="D5" s="3" t="n"/>
      <c r="E5" s="3" t="n"/>
      <c r="F5" s="3" t="n"/>
      <c r="G5" t="inlineStr">
        <is>
          <t>Etsy: 41% din anunțuri 10-25 USD, 31% 25-50 USD (estimare unui tool terț)</t>
        </is>
      </c>
      <c r="H5" s="5">
        <f>IF(OR(C5="",Intrari!$C$5=""),"",C5/1000*Intrari!$C$5)</f>
        <v/>
      </c>
      <c r="I5" s="5">
        <f>IF(OR(B5="",Intrari!$C$6=""),"",B5*Intrari!$C$6)</f>
        <v/>
      </c>
      <c r="J5" s="5">
        <f>IF(OR(E5="",Intrari!$C$7=""),"",E5/60*Intrari!$C$7)</f>
        <v/>
      </c>
      <c r="K5" s="5">
        <f>IF(OR(H5="",I5="",Intrari!$C$10=""),"",(H5+I5)*Intrari!$C$10/100)</f>
        <v/>
      </c>
      <c r="L5" s="5">
        <f>IF(OR(H5="",I5="",J5="",K5="",D5=""),"",H5+I5+J5+K5+D5)</f>
        <v/>
      </c>
      <c r="M5" s="5">
        <f>IF(OR(F5="",Intrari!$C$8=""),"",F5*(1-Intrari!$C$8/100)-IF(Intrari!$C$9="",0,Intrari!$C$9))</f>
        <v/>
      </c>
      <c r="N5" s="5">
        <f>IF(OR(L5="",M5=""),"",M5-L5)</f>
        <v/>
      </c>
      <c r="O5" s="5">
        <f>IF(OR(N5="",B5="",B5=0),"",N5/B5)</f>
        <v/>
      </c>
      <c r="P5" s="6">
        <f>IF(OR(N5="",M5="",M5=0),"",N5/M5)</f>
        <v/>
      </c>
    </row>
    <row r="6">
      <c r="A6" t="inlineStr">
        <is>
          <t>Plăcuță / breloc cu nume</t>
        </is>
      </c>
      <c r="B6" s="3" t="n"/>
      <c r="C6" s="3" t="n"/>
      <c r="D6" s="3" t="n"/>
      <c r="E6" s="3" t="n"/>
      <c r="F6" s="3" t="n"/>
      <c r="G6" t="inlineStr">
        <is>
          <t>Fără sursă</t>
        </is>
      </c>
      <c r="H6" s="5">
        <f>IF(OR(C6="",Intrari!$C$5=""),"",C6/1000*Intrari!$C$5)</f>
        <v/>
      </c>
      <c r="I6" s="5">
        <f>IF(OR(B6="",Intrari!$C$6=""),"",B6*Intrari!$C$6)</f>
        <v/>
      </c>
      <c r="J6" s="5">
        <f>IF(OR(E6="",Intrari!$C$7=""),"",E6/60*Intrari!$C$7)</f>
        <v/>
      </c>
      <c r="K6" s="5">
        <f>IF(OR(H6="",I6="",Intrari!$C$10=""),"",(H6+I6)*Intrari!$C$10/100)</f>
        <v/>
      </c>
      <c r="L6" s="5">
        <f>IF(OR(H6="",I6="",J6="",K6="",D6=""),"",H6+I6+J6+K6+D6)</f>
        <v/>
      </c>
      <c r="M6" s="5">
        <f>IF(OR(F6="",Intrari!$C$8=""),"",F6*(1-Intrari!$C$8/100)-IF(Intrari!$C$9="",0,Intrari!$C$9))</f>
        <v/>
      </c>
      <c r="N6" s="5">
        <f>IF(OR(L6="",M6=""),"",M6-L6)</f>
        <v/>
      </c>
      <c r="O6" s="5">
        <f>IF(OR(N6="",B6="",B6=0),"",N6/B6)</f>
        <v/>
      </c>
      <c r="P6" s="6">
        <f>IF(OR(N6="",M6="",M6=0),"",N6/M6)</f>
        <v/>
      </c>
    </row>
    <row r="7">
      <c r="A7" t="inlineStr">
        <is>
          <t>Organizator de birou</t>
        </is>
      </c>
      <c r="B7" s="3" t="n"/>
      <c r="C7" s="3" t="n"/>
      <c r="D7" s="3" t="n"/>
      <c r="E7" s="3" t="n"/>
      <c r="F7" s="3" t="n"/>
      <c r="G7" t="inlineStr">
        <is>
          <t>Fără sursă</t>
        </is>
      </c>
      <c r="H7" s="5">
        <f>IF(OR(C7="",Intrari!$C$5=""),"",C7/1000*Intrari!$C$5)</f>
        <v/>
      </c>
      <c r="I7" s="5">
        <f>IF(OR(B7="",Intrari!$C$6=""),"",B7*Intrari!$C$6)</f>
        <v/>
      </c>
      <c r="J7" s="5">
        <f>IF(OR(E7="",Intrari!$C$7=""),"",E7/60*Intrari!$C$7)</f>
        <v/>
      </c>
      <c r="K7" s="5">
        <f>IF(OR(H7="",I7="",Intrari!$C$10=""),"",(H7+I7)*Intrari!$C$10/100)</f>
        <v/>
      </c>
      <c r="L7" s="5">
        <f>IF(OR(H7="",I7="",J7="",K7="",D7=""),"",H7+I7+J7+K7+D7)</f>
        <v/>
      </c>
      <c r="M7" s="5">
        <f>IF(OR(F7="",Intrari!$C$8=""),"",F7*(1-Intrari!$C$8/100)-IF(Intrari!$C$9="",0,Intrari!$C$9))</f>
        <v/>
      </c>
      <c r="N7" s="5">
        <f>IF(OR(L7="",M7=""),"",M7-L7)</f>
        <v/>
      </c>
      <c r="O7" s="5">
        <f>IF(OR(N7="",B7="",B7=0),"",N7/B7)</f>
        <v/>
      </c>
      <c r="P7" s="6">
        <f>IF(OR(N7="",M7="",M7=0),"",N7/M7)</f>
        <v/>
      </c>
    </row>
    <row r="8">
      <c r="A8" t="inlineStr">
        <is>
          <t>Piesă la comandă pentru o firmă</t>
        </is>
      </c>
      <c r="B8" s="3" t="n"/>
      <c r="C8" s="3" t="n"/>
      <c r="D8" s="3" t="n"/>
      <c r="E8" s="3" t="n"/>
      <c r="F8" s="3" t="n"/>
      <c r="G8" t="inlineStr">
        <is>
          <t>Servicii RO (Brig.ro, rezumat de căutare): aprox. 0,50-0,60 lei/g + 10 lei/oră</t>
        </is>
      </c>
      <c r="H8" s="5">
        <f>IF(OR(C8="",Intrari!$C$5=""),"",C8/1000*Intrari!$C$5)</f>
        <v/>
      </c>
      <c r="I8" s="5">
        <f>IF(OR(B8="",Intrari!$C$6=""),"",B8*Intrari!$C$6)</f>
        <v/>
      </c>
      <c r="J8" s="5">
        <f>IF(OR(E8="",Intrari!$C$7=""),"",E8/60*Intrari!$C$7)</f>
        <v/>
      </c>
      <c r="K8" s="5">
        <f>IF(OR(H8="",I8="",Intrari!$C$10=""),"",(H8+I8)*Intrari!$C$10/100)</f>
        <v/>
      </c>
      <c r="L8" s="5">
        <f>IF(OR(H8="",I8="",J8="",K8="",D8=""),"",H8+I8+J8+K8+D8)</f>
        <v/>
      </c>
      <c r="M8" s="5">
        <f>IF(OR(F8="",Intrari!$C$8=""),"",F8*(1-Intrari!$C$8/100)-IF(Intrari!$C$9="",0,Intrari!$C$9))</f>
        <v/>
      </c>
      <c r="N8" s="5">
        <f>IF(OR(L8="",M8=""),"",M8-L8)</f>
        <v/>
      </c>
      <c r="O8" s="5">
        <f>IF(OR(N8="",B8="",B8=0),"",N8/B8)</f>
        <v/>
      </c>
      <c r="P8" s="6">
        <f>IF(OR(N8="",M8="",M8=0),"",N8/M8)</f>
        <v/>
      </c>
    </row>
    <row r="10">
      <c r="A10" t="inlineStr">
        <is>
          <t>Cum se citește: ordonează produsele după „Profit / oră de imprimantă”. O marjă mare pe un print de 10 ore poate aduce mai puțin pe săptămână decât o marjă mică pe un print de 30 de minute.</t>
        </is>
      </c>
    </row>
    <row r="11">
      <c r="A11" t="inlineStr">
        <is>
          <t>Costul rebuturilor se aplică la (material + mașină); transportul se scade o dată din venit. Mărimile nu au valori implicite: fără măsurători, celulele rămân goale.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Cercetare de piață: LUMIS/docs/cercetare-piata-2026-10-27.md (surse, date, limite).</t>
        </is>
      </c>
    </row>
    <row r="2">
      <c r="A2" t="inlineStr">
        <is>
          <t>Fără date de vânzări pentru România. Reperele de preț sunt internaționale (USD), din anunțuri, fără transport și taxe.</t>
        </is>
      </c>
    </row>
    <row r="3">
      <c r="A3" t="inlineStr">
        <is>
          <t>Prețul filamentului și costul mașinii: de completat din facturi. Nu există valori în cercetare care să se aplice în România.</t>
        </is>
      </c>
    </row>
    <row r="4">
      <c r="A4" t="inlineStr">
        <is>
          <t>Lista lipsă: ore și grame măsurate din printuri reale; costul componentelor (LED, cablu, șuruburi, alice); preț ales; formă juridică și TVA; comisioane actuale; rată de rebuturi.</t>
        </is>
      </c>
    </row>
    <row r="5">
      <c r="A5" t="inlineStr">
        <is>
          <t>Nu e o recomandare de preț și nu pornește nicio campanie sau cheltuială.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2026-10-31T12:26:23Z</dcterms:created>
  <dcterms:modified xmlns:dcterms="http://purl.org/dc/terms/" xmlns:xsi="http://www.w3.org/2001/XMLSchema-instance" xsi:type="dcterms:W3CDTF">2026-10-31T12:26:23Z</dcterms:modified>
</cp:coreProperties>
</file>